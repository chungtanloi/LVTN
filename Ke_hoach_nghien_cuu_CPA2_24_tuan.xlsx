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1" autoFilterDateGrouping="1"/>
  </bookViews>
  <sheets>
    <sheet xmlns:r="http://schemas.openxmlformats.org/officeDocument/2006/relationships" name="Kế hoạch 24 tuần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ecklist tuần" sheetId="3" state="visible" r:id="rId3"/>
    <sheet xmlns:r="http://schemas.openxmlformats.org/officeDocument/2006/relationships" name="Tổng hợp giai đoạn" sheetId="4" state="visible" r:id="rId4"/>
  </sheets>
  <definedNames>
    <definedName name="_xlnm._FilterDatabase" localSheetId="0" hidden="1">'Kế hoạch 24 tuần'!$A$1:$H$25</definedName>
    <definedName name="_xlnm._FilterDatabase" localSheetId="2" hidden="1">'Checklist tuần'!$A$1:$G$25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12" activePane="bottomLeft" state="frozen"/>
      <selection activeCell="A1" sqref="A1"/>
      <selection pane="bottomLeft" activeCell="D25" sqref="D25"/>
    </sheetView>
  </sheetViews>
  <sheetFormatPr baseColWidth="8" defaultColWidth="9" defaultRowHeight="14.4"/>
  <cols>
    <col width="8" customWidth="1" min="1" max="1"/>
    <col width="18" customWidth="1" min="2" max="2"/>
    <col width="25" customWidth="1" min="3" max="3"/>
    <col width="50" customWidth="1" min="4" max="4"/>
    <col width="40" customWidth="1" min="5" max="5"/>
    <col width="38" customWidth="1" min="6" max="6"/>
    <col width="16" customWidth="1" min="7" max="7"/>
    <col width="25" customWidth="1" min="8" max="8"/>
  </cols>
  <sheetData>
    <row r="1">
      <c r="A1" s="1" t="inlineStr">
        <is>
          <t>Tuần</t>
        </is>
      </c>
      <c r="B1" s="1" t="inlineStr">
        <is>
          <t>Giai đoạn</t>
        </is>
      </c>
      <c r="C1" s="1" t="inlineStr">
        <is>
          <t>Mục tiêu nghiên cứu</t>
        </is>
      </c>
      <c r="D1" s="1" t="inlineStr">
        <is>
          <t>Công việc phải làm</t>
        </is>
      </c>
      <c r="E1" s="1" t="inlineStr">
        <is>
          <t>Sản phẩm phải đạt</t>
        </is>
      </c>
      <c r="F1" s="1" t="inlineStr">
        <is>
          <t>Tiêu chí hoàn thành</t>
        </is>
      </c>
      <c r="G1" s="1" t="inlineStr">
        <is>
          <t>Trạng thái</t>
        </is>
      </c>
      <c r="H1" s="1" t="inlineStr">
        <is>
          <t>Ghi chú</t>
        </is>
      </c>
    </row>
    <row r="2" ht="100.8" customHeight="1">
      <c r="A2" s="2" t="inlineStr">
        <is>
          <t>1</t>
        </is>
      </c>
      <c r="B2" s="2" t="inlineStr">
        <is>
          <t>Khảo sát</t>
        </is>
      </c>
      <c r="C2" s="2" t="inlineStr">
        <is>
          <t>Hiểu bài toán và phạm vi</t>
        </is>
      </c>
      <c r="D2" s="2" t="inlineStr">
        <is>
          <t>Chốt problem statement; input/output; phạm vi đề tài</t>
        </is>
      </c>
      <c r="E2" s="2" t="inlineStr">
        <is>
          <t>Problem statement + scope</t>
        </is>
      </c>
      <c r="F2" s="2" t="inlineStr">
        <is>
          <t>Chốt được bài toán và giới hạn</t>
        </is>
      </c>
      <c r="G2" s="2" t="inlineStr">
        <is>
          <t>Hoàn thành</t>
        </is>
      </c>
      <c r="H2" s="2" t="inlineStr">
        <is>
          <t>Hoàn thành. ĐÃ SỬA 09/10/2026: nhóm ưu tiên (3) bỏ chữ 'sàn' — QĐ3266 không có sàn tín chỉ đăng ký (xem Tuần 5, phát hiện P-2). Giả định 5.3 số 3 phải tách: xung đột LIÊN VĂN BẢN là có thật (QD-09). CTĐT chính ghi lại là K49 (cần ghi lý do chọn K49).</t>
        </is>
      </c>
    </row>
    <row r="3" ht="28.8" customHeight="1">
      <c r="A3" s="2" t="inlineStr">
        <is>
          <t>2</t>
        </is>
      </c>
      <c r="B3" s="2" t="inlineStr">
        <is>
          <t>Khảo sát</t>
        </is>
      </c>
      <c r="C3" s="2" t="inlineStr">
        <is>
          <t>Xây taxonomy học vụ</t>
        </is>
      </c>
      <c r="D3" s="2" t="inlineStr">
        <is>
          <t>Phân loại Mandatory, Elective, N-of-M, Prerequisite, Exemption, Substitution, Graduation</t>
        </is>
      </c>
      <c r="E3" s="2" t="inlineStr">
        <is>
          <t>Taxonomy v1</t>
        </is>
      </c>
      <c r="F3" s="2" t="inlineStr">
        <is>
          <t>Có ví dụ cho từng loại</t>
        </is>
      </c>
      <c r="G3" s="2" t="inlineStr">
        <is>
          <t>Hoàn thành</t>
        </is>
      </c>
      <c r="H3" s="2" t="inlineStr">
        <is>
          <t>Hoàn thành. Tuần 5 bổ sung trục B' (khả dụng dữ kiện); Trục C đã sửa 6 -&gt; 7 trạng thái (exempted_M vs recognized). Tuần 6: v1.2 — thêm T4b (ngưỡng TC) + T4c (song hành), T3 có 3 kiểu nhóm; bỏ ví dụ '10 chọn 2' không có thật.</t>
        </is>
      </c>
    </row>
    <row r="4" ht="28.8" customHeight="1">
      <c r="A4" s="2" t="inlineStr">
        <is>
          <t>3</t>
        </is>
      </c>
      <c r="B4" s="2" t="inlineStr">
        <is>
          <t>Khảo sát</t>
        </is>
      </c>
      <c r="C4" s="2" t="inlineStr">
        <is>
          <t>Nghiên cứu RAG/Neuro-symbolic</t>
        </is>
      </c>
      <c r="D4" s="2" t="inlineStr">
        <is>
          <t>Đọc Aurora và công trình liên quan; lập bảng so sánh</t>
        </is>
      </c>
      <c r="E4" s="2" t="inlineStr">
        <is>
          <t>Literature review</t>
        </is>
      </c>
      <c r="F4" s="2" t="inlineStr">
        <is>
          <t>8–12 nguồn + research gap</t>
        </is>
      </c>
      <c r="G4" s="2" t="inlineStr">
        <is>
          <t>Hoàn thành</t>
        </is>
      </c>
      <c r="H4" s="2" t="inlineStr">
        <is>
          <t>Hoàn thành. ĐÃ CÓ cột 'Quy mô bộ quy tắc' (13 công trình); 09/10 sửa dòng phân cách bảng bị thiếu cột.</t>
        </is>
      </c>
    </row>
    <row r="5" ht="28.8" customHeight="1">
      <c r="A5" s="2" t="inlineStr">
        <is>
          <t>4</t>
        </is>
      </c>
      <c r="B5" s="2" t="inlineStr">
        <is>
          <t>Khảo sát</t>
        </is>
      </c>
      <c r="C5" s="2" t="inlineStr">
        <is>
          <t>Nghiên cứu Rules as Code/Solver</t>
        </is>
      </c>
      <c r="D5" s="2" t="inlineStr">
        <is>
          <t>Tìm hiểu Z3/ASP; chọn hướng solver</t>
        </is>
      </c>
      <c r="E5" s="2" t="inlineStr">
        <is>
          <t>Solver design note</t>
        </is>
      </c>
      <c r="F5" s="2" t="inlineStr">
        <is>
          <t>Chọn solver + lý do</t>
        </is>
      </c>
      <c r="G5" s="2" t="inlineStr">
        <is>
          <t>Hoàn thành</t>
        </is>
      </c>
      <c r="H5" s="2" t="inlineStr">
        <is>
          <t>Hoàn thành. Chọn clingo + CP-SAT + Z3. Tuần 5 phát hiện SAI tham số WARNING_TERM_GPA = 1,20 (đúng là 0,80 cho HK đầu / 1,00 các HK sau). Tuần 6: kb.py sai 9 chỗ so với CTĐT thật (đã sửa, ERRATA_Tuan6.md); so sánh tốc độ T3 là tạo tác do clingo chạy optN (liệt kê 9950 kế hoạch) — đo lại clingo 2,5 ms / CP-SAT 19 ms; vai trò CP-SAT để mở tới Tuần 12.</t>
        </is>
      </c>
    </row>
    <row r="6" ht="201.6" customHeight="1">
      <c r="A6" s="2" t="inlineStr">
        <is>
          <t>5</t>
        </is>
      </c>
      <c r="B6" s="2" t="inlineStr">
        <is>
          <t>Formalization</t>
        </is>
      </c>
      <c r="C6" s="2" t="inlineStr">
        <is>
          <t>Formalize quy chế</t>
        </is>
      </c>
      <c r="D6" s="2" t="inlineStr">
        <is>
          <t>Thu thập điều khoản; phân loại Formalizable/Partial/Not</t>
        </is>
      </c>
      <c r="E6" s="2" t="inlineStr">
        <is>
          <t>R-Formal v1.4</t>
        </is>
      </c>
      <c r="F6" s="2" t="inlineStr">
        <is>
          <t>Mỗi rule có nguồn</t>
        </is>
      </c>
      <c r="G6" s="2" t="inlineStr">
        <is>
          <t>Hoàn thành</t>
        </is>
      </c>
      <c r="H6" s="2" t="inlineStr">
        <is>
          <t>HOÀN THÀNH phần lõi (R-Formal v1.4). Coverage 81,7% (F=58,P=8,N=5/71); Executable 59,2%. 7/7 bất biến + 39/39 ca kiểm thử đạt. Đã có SỐ THẬT của CTĐT CNTT K49 (161 TC; 4,5 năm -&gt; trần 9 năm). Thêm bộ bẫy tri thức (8 mệnh đề, 7 sai) làm bằng chứng H2. CÒN LẠI: xác nhận QD-03 + QD-09 với Phòng Đào tạo; chưa soát chéo F/P/N; chưa test bảng điểm thật. 09/10/2026: R-Formal v1.6 — R-M06 ràng buộc ngôn ngữ chứng chỉ ↔ học phần (IELTS không còn cho xin miễn Pháp văn); 41/41 ca đạt. Bảng quy đổi tiếng Pháp chưa chép (OCR hỏng).</t>
        </is>
      </c>
    </row>
    <row r="7" ht="409.5" customHeight="1">
      <c r="A7" s="2" t="inlineStr">
        <is>
          <t>6</t>
        </is>
      </c>
      <c r="B7" s="2" t="inlineStr">
        <is>
          <t>Formalization</t>
        </is>
      </c>
      <c r="C7" s="2" t="inlineStr">
        <is>
          <t>Mô hình Curriculum</t>
        </is>
      </c>
      <c r="D7" s="2" t="inlineStr">
        <is>
          <t>Biểu diễn CTĐT, học phần, nhóm tự chọn, prerequisite</t>
        </is>
      </c>
      <c r="E7" s="2" t="inlineStr">
        <is>
          <t>Curriculum KB v1</t>
        </is>
      </c>
      <c r="F7" s="2" t="inlineStr">
        <is>
          <t>Solver đọc được curriculum</t>
        </is>
      </c>
      <c r="G7" s="2" t="inlineStr">
        <is>
          <t>Hoàn thành</t>
        </is>
      </c>
      <c r="H7" s="2" t="inlineStr">
        <is>
          <t>HOÀN THÀNH (Curriculum KB v1, w6_curriculum/). Chép đủ 78 dòng CTĐT K49, 5 nhóm tự chọn (3 kiểu: đếm TC, một nhánh, đếm môn); sinh tự động từ build_curriculum.py. Solver đọc được curriculum: clingo, CP-SAT, Python độc lập cùng tính ra 161 TC tối thiểu và 2394 kế hoạch tối thiểu; 31/31 ca đạt. (a) xong 15 TC tự chọn đại cương; (b) xong T4b/T4c trong taxonomy; (c) xong ERRATA prototype Tuần 4. PHÁT HIỆN: LVTN CT550E thuộc nhóm tự chọn 15 TC; 3 lỗi R-Formal v1.4 (L2 dương tính giả) → sửa v1.5, 39/39 vẫn đạt. CQ-05 ĐÓNG (161 TC gồm HP điều kiện); CQ-06 ĐÓNG (SV chọn HP tự chọn để tích lũy → tách passed/tich_luy; ba trị cần ∀ dữ kiện ∃ lựa chọn). CÒN LẠI: (d) hỏi Phòng Đào tạo QD-03 + công thức TC nợ đọng; ghi nguồn văn bản cho CQ-05/CQ-06; soát chéo cột tiên quyết trang 4 (ảnh quét). 09/10/2026: đã cài ortools → P2 CP-SAT chạy được, tối thiểu 161 TC [OPTIMAL].</t>
        </is>
      </c>
    </row>
    <row r="8" ht="115.2" customHeight="1">
      <c r="A8" s="2" t="inlineStr">
        <is>
          <t>7</t>
        </is>
      </c>
      <c r="B8" s="2" t="inlineStr">
        <is>
          <t>Formalization</t>
        </is>
      </c>
      <c r="C8" s="2" t="inlineStr">
        <is>
          <t>Mô hình Student Facts</t>
        </is>
      </c>
      <c r="D8" s="2" t="inlineStr">
        <is>
          <t>Schema điểm, tín chỉ, GPA, chứng chỉ, miễn</t>
        </is>
      </c>
      <c r="E8" s="2" t="inlineStr">
        <is>
          <t>Student Fact Model</t>
        </is>
      </c>
      <c r="F8" s="2" t="inlineStr">
        <is>
          <t>Có ≥5 hồ sơ giả lập</t>
        </is>
      </c>
      <c r="G8" s="2" t="inlineStr">
        <is>
          <t>Hoàn thành</t>
        </is>
      </c>
      <c r="H8" s="2" t="inlineStr">
        <is>
          <t>Tuần 7 xong Student Fact Model (schema + 5 hồ sơ sv_lvtn/sv_tltn/sv_5hp/sv_tron_ngoai_ngu/sv_du_hp, validate 5/5). Tích hợp R-Formal + Curriculum OK. Chốt du_dk_xin_mien là trạng thái hồ sơ. 09/10/2026: viết bù Tuan7_Student_Fact_Model.md; thêm hồ sơ sv_mien_ielts (6/6); validator kiểm schema thật; sửa 2 lỗi L7-1, L7-2.</t>
        </is>
      </c>
    </row>
    <row r="9" ht="100.8" customHeight="1">
      <c r="A9" s="2" t="inlineStr">
        <is>
          <t>8</t>
        </is>
      </c>
      <c r="B9" s="2" t="inlineStr">
        <is>
          <t>Formalization</t>
        </is>
      </c>
      <c r="C9" s="2" t="inlineStr">
        <is>
          <t>Elective &amp; N-of-M</t>
        </is>
      </c>
      <c r="D9" s="2" t="inlineStr">
        <is>
          <t>Cài nhóm 10 chọn 2 và các case tương tự</t>
        </is>
      </c>
      <c r="E9" s="2" t="inlineStr">
        <is>
          <t>Elective Solver</t>
        </is>
      </c>
      <c r="F9" s="2" t="inlineStr">
        <is>
          <t>Pass bộ test N-of-M</t>
        </is>
      </c>
      <c r="G9" s="2" t="inlineStr">
        <is>
          <t>Hoàn thành</t>
        </is>
      </c>
      <c r="H9" s="2" t="inlineStr">
        <is>
          <t>Tuần 8 xong Elective Solver (3 kiểu nhóm: tin_chi/mot_nhanh/dem_mon, elective_solver.lp + validate 29/29). K49 không có nhóm đếm môn -&gt; demo DEMO1-4. Tích hợp w7 OK.</t>
        </is>
      </c>
    </row>
    <row r="10" ht="100.8" customHeight="1">
      <c r="A10" s="2" t="inlineStr">
        <is>
          <t>9</t>
        </is>
      </c>
      <c r="B10" s="2" t="inlineStr">
        <is>
          <t>Formalization</t>
        </is>
      </c>
      <c r="C10" s="2" t="inlineStr">
        <is>
          <t>Exemption &amp; Substitution</t>
        </is>
      </c>
      <c r="D10" s="2" t="inlineStr">
        <is>
          <t>Mô hình miễn bằng chứng chỉ và học phần thay thế</t>
        </is>
      </c>
      <c r="E10" s="2" t="inlineStr">
        <is>
          <t>Exemption/Substitution Solver</t>
        </is>
      </c>
      <c r="F10" s="2" t="inlineStr">
        <is>
          <t>Phân biệt passed/exempted/substituted</t>
        </is>
      </c>
      <c r="G10" s="2" t="inlineStr">
        <is>
          <t>Hoàn thành</t>
        </is>
      </c>
      <c r="H10" s="2" t="inlineStr">
        <is>
          <t>Tuần 9 xong Exemption/Substitution (exempted_M vs recognized QD-01, QD-11 mien_treo, T6 đổi mã + ML LLCT + chênh lệch TC QD-10, 22/22 test, trang_thai_hp 4 trạng thái)</t>
        </is>
      </c>
    </row>
    <row r="11" ht="86.40000000000001" customHeight="1">
      <c r="A11" s="2" t="inlineStr">
        <is>
          <t>10</t>
        </is>
      </c>
      <c r="B11" s="2" t="inlineStr">
        <is>
          <t>Formalization</t>
        </is>
      </c>
      <c r="C11" s="2" t="inlineStr">
        <is>
          <t>Prerequisite &amp; graduation</t>
        </is>
      </c>
      <c r="D11" s="2" t="inlineStr">
        <is>
          <t>Cài prerequisite, tín chỉ, điều kiện tốt nghiệp</t>
        </is>
      </c>
      <c r="E11" s="2" t="inlineStr">
        <is>
          <t>Graduation Solver v1</t>
        </is>
      </c>
      <c r="F11" s="2" t="inlineStr">
        <is>
          <t>Pass case chuẩn</t>
        </is>
      </c>
      <c r="G11" s="2" t="inlineStr">
        <is>
          <t>Hoàn thành</t>
        </is>
      </c>
      <c r="H11" s="2" t="inlineStr">
        <is>
          <t>Tuần 10 xong Graduation Solver v1 (T4a/b/c 20+11+4, 7 điều kiện dk_tin_chi..dk_ky_luat -&gt; tot_nghiep, thieu_dk/*, 19/19 test, tích hợp miễn/thay thế)</t>
        </is>
      </c>
    </row>
    <row r="12" ht="115.2" customHeight="1">
      <c r="A12" s="2" t="inlineStr">
        <is>
          <t>11</t>
        </is>
      </c>
      <c r="B12" s="2" t="inlineStr">
        <is>
          <t>Proof</t>
        </is>
      </c>
      <c r="C12" s="2" t="inlineStr">
        <is>
          <t>Proof Certificate</t>
        </is>
      </c>
      <c r="D12" s="2" t="inlineStr">
        <is>
          <t>Thiết kế Claim → Proof → Rule → Fact → Source</t>
        </is>
      </c>
      <c r="E12" s="2" t="inlineStr">
        <is>
          <t>Proof schema</t>
        </is>
      </c>
      <c r="F12" s="2" t="inlineStr">
        <is>
          <t>Mỗi kết luận có trace</t>
        </is>
      </c>
      <c r="G12" s="2" t="inlineStr">
        <is>
          <t>Hoàn thành</t>
        </is>
      </c>
      <c r="H12" s="2" t="inlineStr">
        <is>
          <t>Tuần 11 xong Proof Certificate (Claim-&gt;Proof-&gt;Rule-&gt;Fact-&gt;Source, proof_schema.json + generate_certificate.py, why/2 41 rule_src 54, 13/13 test TRUE/FALSE/UNKNOWN)</t>
        </is>
      </c>
    </row>
    <row r="13" ht="115.2" customHeight="1">
      <c r="A13" s="2" t="inlineStr">
        <is>
          <t>12</t>
        </is>
      </c>
      <c r="B13" s="2" t="inlineStr">
        <is>
          <t>Proof</t>
        </is>
      </c>
      <c r="C13" s="2" t="inlineStr">
        <is>
          <t>Tích hợp Solver + Proof</t>
        </is>
      </c>
      <c r="D13" s="2" t="inlineStr">
        <is>
          <t>Kết nối solver với proof engine</t>
        </is>
      </c>
      <c r="E13" s="2" t="inlineStr">
        <is>
          <t>Prototype v1</t>
        </is>
      </c>
      <c r="F13" s="2" t="inlineStr">
        <is>
          <t>Answer đi kèm proof</t>
        </is>
      </c>
      <c r="G13" s="2" t="inlineStr">
        <is>
          <t>Hoàn thành</t>
        </is>
      </c>
      <c r="H13" s="2" t="inlineStr">
        <is>
          <t>Tuần 12 xong Prototype v1 (4 tầng Parser stub-&gt;KB-&gt;Solver ba trị-&gt;Verbalizer template + hậu kiểm, verdict+certificate+explanation+missing_facts, 11/11 test, demo sv_lvtn TRUE / sv_tron FALSE / UNKNOWN)</t>
        </is>
      </c>
    </row>
    <row r="14" ht="100.8" customHeight="1">
      <c r="A14" s="2" t="inlineStr">
        <is>
          <t>13</t>
        </is>
      </c>
      <c r="B14" s="2" t="inlineStr">
        <is>
          <t>LLM</t>
        </is>
      </c>
      <c r="C14" s="2" t="inlineStr">
        <is>
          <t>Semantic Parser</t>
        </is>
      </c>
      <c r="D14" s="2" t="inlineStr">
        <is>
          <t>LLM chuyển câu hỏi tiếng Việt thành formal query</t>
        </is>
      </c>
      <c r="E14" s="2" t="inlineStr">
        <is>
          <t>Parser v1</t>
        </is>
      </c>
      <c r="F14" s="2" t="inlineStr">
        <is>
          <t>Parse ≥80% test nội bộ</t>
        </is>
      </c>
      <c r="G14" s="2" t="inlineStr">
        <is>
          <t>Hoàn thành</t>
        </is>
      </c>
      <c r="H14" s="2" t="inlineStr">
        <is>
          <t>Tuần 13 xong Semantic Parser v1 (Q-&gt;formal query, 7 intent tot_nghiep/thieu_mon/thieu_tc/dang_ky/du_dk_luan_van/mien/counterfactual, template regex 100% 20/20 + LLM stub, parser.py) LƯU Ý: chưa dùng LLM thật — LLM stub; bộ test 20 câu tự soạn.</t>
        </is>
      </c>
    </row>
    <row r="15">
      <c r="A15" s="2" t="inlineStr">
        <is>
          <t>14</t>
        </is>
      </c>
      <c r="B15" s="2" t="inlineStr">
        <is>
          <t>LLM</t>
        </is>
      </c>
      <c r="C15" s="2" t="inlineStr">
        <is>
          <t>RAG grounding</t>
        </is>
      </c>
      <c r="D15" s="2" t="inlineStr">
        <is>
          <t>Kết nối retrieval với quy chế/CTĐT</t>
        </is>
      </c>
      <c r="E15" s="2" t="inlineStr">
        <is>
          <t>RAG prototype</t>
        </is>
      </c>
      <c r="F15" s="2" t="inlineStr">
        <is>
          <t>Truy hồi đúng nguồn</t>
        </is>
      </c>
      <c r="G15" s="2" t="inlineStr">
        <is>
          <t>Đang làm</t>
        </is>
      </c>
      <c r="H15" s="2" t="inlineStr">
        <is>
          <t>09/10/2026: RAG prototype w14_rag/ — corpus 138 passage quy chế (điều/khoản, 8 dựng từ trích R-Formal do OCR hỏng/trắng) + 83 passage CTĐT; BM25 bigram có/không dấu. GROUNDING cho kết luận ĐẠT: 93/93 quy tắc, 53/53 asp có passage; certificate 3 hồ sơ 20/20 bước đúng điều; hậu kiểm chặn trích ngoài chứng minh. TRUY HỒI TỰ DO CHƯA ĐẠT mục tiêu: test R@1 0,67 (mục tiêu 0,80), R@5 0,92 (0,95); dev 0,79/0,92. Phát hiện: câu 'điểm 4,5 chuyển từ trường khác' → truy hồi chọn QĐ3266 thay vì QĐ5339 (bẫy QD-09, bằng chứng H2). Còn: ưu tiên nguồn điều kiện vi phạm khi trích cho FALSE; thử embedding.</t>
        </is>
      </c>
    </row>
    <row r="16">
      <c r="A16" s="2" t="inlineStr">
        <is>
          <t>15</t>
        </is>
      </c>
      <c r="B16" s="2" t="inlineStr">
        <is>
          <t>Uncertainty</t>
        </is>
      </c>
      <c r="C16" s="2" t="inlineStr">
        <is>
          <t>OCR bảng điểm</t>
        </is>
      </c>
      <c r="D16" s="2" t="inlineStr">
        <is>
          <t>OCR + lưu confidence cho từng dữ kiện</t>
        </is>
      </c>
      <c r="E16" s="2" t="inlineStr">
        <is>
          <t>OCR pipeline v1</t>
        </is>
      </c>
      <c r="F16" s="2" t="inlineStr">
        <is>
          <t>Có fact + confidence</t>
        </is>
      </c>
      <c r="G16" s="2" t="inlineStr">
        <is>
          <t>Hoàn thành</t>
        </is>
      </c>
      <c r="H16" s="2" t="inlineStr">
        <is>
          <t>09/10/2026: OCR pipeline v1 (w15_ocr/) — Tesseract vie + OCR theo dải cột có whitelist; kiểm chéo mã∈CTĐT, TC, R-B02, tổng TC học kỳ, ĐTBCHK; confidence + ocr_raw mỗi fact. Ảnh tổng hợp 6 hồ sơ × 3 nhiễu: fact nhận đúng 783/784 (0,999), 0/18 kết luận sai, độ phủ chỉ 1/18 (còn lại UNKNOWN). Bảng điểm thật (không commit): trang 1 nhận 10/11, đúng 10/10. Review tìm 2 lỗi soundness (F/A không đơn điệu theo GPA; học lại) — đã sửa, có test. Phát hiện: KB Tuần 10 thế giới đóng cho xac_nhan_ky_luat_sach (FALSE thay vì UNKNOWN) → Tuần 16; bảng điểm thật ghi CC004 (miễn AV) và GDTC TC025–027, KB chỉ có TC100 → cần xác minh.</t>
        </is>
      </c>
    </row>
    <row r="17">
      <c r="A17" s="2" t="inlineStr">
        <is>
          <t>16</t>
        </is>
      </c>
      <c r="B17" s="2" t="inlineStr">
        <is>
          <t>Uncertainty</t>
        </is>
      </c>
      <c r="C17" s="2" t="inlineStr">
        <is>
          <t>Three-valued logic</t>
        </is>
      </c>
      <c r="D17" s="2" t="inlineStr">
        <is>
          <t>Cài TRUE/FALSE/UNKNOWN + missing evidence</t>
        </is>
      </c>
      <c r="E17" s="2" t="inlineStr">
        <is>
          <t>Abstention engine</t>
        </is>
      </c>
      <c r="F17" s="2" t="inlineStr">
        <is>
          <t>Không đoán khi thiếu dữ liệu</t>
        </is>
      </c>
      <c r="G17" s="2" t="inlineStr">
        <is>
          <t>Hoàn thành</t>
        </is>
      </c>
      <c r="H17" s="2" t="inlineStr">
        <is>
          <t>14/10/2026: Abstention engine v1 (w16_abstention/). KB mở nhánh dữ kiện ngoài chưa khai báo (xac_nhan_ky_luat_sach, qua_thoi_gian_toi_da) → UNKNOWN thay vì FALSE/"chưa quá hạn" (sửa P15-2); missing evidence = chỉ dữ kiện QUYẾT ĐỊNH + câu hỏi + nguồn + kết luận theo từng giá trị; UNKNOWN → không kết luận, không theo đa số. validate_abstention 30/30 (tự soạn; 14 fail với luật cũ), mọi tuần 5–16 ĐẠT. P16-2 đã sửa 17/10/2026 (chọn cách đọc b): quá thời gian tối đa (Đ5, CTĐT 4,5 năm → 9 năm) thì không tốt nghiệp — R-Formal v1.7 + graduation_solver, 5 ca hồi quy fail với luật cũ. LƯU Ý: tc_cong_nhan vẫn thế giới đóng; học phí ×1,5 sau thời gian thiết kế chưa có văn bản nguồn (không có trong QĐ3266/QĐ5339) → chưa hình thức hoá.</t>
        </is>
      </c>
    </row>
    <row r="18">
      <c r="A18" s="2" t="inlineStr">
        <is>
          <t>17</t>
        </is>
      </c>
      <c r="B18" s="2" t="inlineStr">
        <is>
          <t>Uncertainty</t>
        </is>
      </c>
      <c r="C18" s="2" t="inlineStr">
        <is>
          <t>Adversarial cases</t>
        </is>
      </c>
      <c r="D18" s="2" t="inlineStr">
        <is>
          <t>Tạo case thiếu dữ liệu, sát ngưỡng, OCR sai</t>
        </is>
      </c>
      <c r="E18" s="2" t="inlineStr">
        <is>
          <t>Adversarial set</t>
        </is>
      </c>
      <c r="F18" s="2" t="inlineStr">
        <is>
          <t>≥60 case đối kháng</t>
        </is>
      </c>
      <c r="G18" s="2" t="inlineStr">
        <is>
          <t>Hoàn thành</t>
        </is>
      </c>
      <c r="H18" s="2" t="inlineStr">
        <is>
          <t>17/10/2026: Adversarial set v1 (w17_adversarial/) — 80 ca chấm điểm (thiếu dữ liệu 17, sát ngưỡng 24, bẫy quy chế 15, hồ sơ lỗi 6, OCR sai mức tài liệu 18) + 5 ca không chấm; gold viết tay kèm nguồn điều/khoản/trang, ĐÓNG BĂNG ở commit 200b860 trước khi chạy; oracle Python độc lập kiểm 29 tiền đề; dev/test phân tầng. CPA² test (37 ca): Soundness 91,9%, Coverage 78,4%, SelAcc 89,7%, từ chối thừa 0. SỬA 18/10/2026: P17-1 rà soát hồ sơ mâu thuẫn (abstention.ra_soat), P17-2 OCR (ĐTBCHK không đọc được; mã bắt buộc đọc nhầm), P17-3 R-Formal v1.8 trần theo HK (Đ6 k1: 3 HK/năm). Chạy lại: dev/test 100% sound, 0/2 rủi ro OCR ẩn — NHƯNG test đã nhiễm (sửa sau khi thấy ca test) → cần bộ test mới ở Tuần 20. LƯU Ý: số chính thức T17 giữ nguyên; gold tự soạn, chưa đo κ; 3 bản loader chưa gộp.</t>
        </is>
      </c>
    </row>
    <row r="19">
      <c r="A19" s="2" t="inlineStr">
        <is>
          <t>18</t>
        </is>
      </c>
      <c r="B19" s="2" t="inlineStr">
        <is>
          <t>Recommendation</t>
        </is>
      </c>
      <c r="C19" s="2" t="inlineStr">
        <is>
          <t>Eligibility engine</t>
        </is>
      </c>
      <c r="D19" s="2" t="inlineStr">
        <is>
          <t>Kiểm tra luận văn/niên luận/học phần thay thế</t>
        </is>
      </c>
      <c r="E19" s="2" t="inlineStr">
        <is>
          <t>Eligibility module</t>
        </is>
      </c>
      <c r="F19" s="2" t="inlineStr">
        <is>
          <t>Eligible/Not Eligible/Unknown</t>
        </is>
      </c>
      <c r="G19" s="2" t="inlineStr">
        <is>
          <t>Hoàn thành</t>
        </is>
      </c>
      <c r="H19" s="2" t="inlineStr">
        <is>
          <t>18/10/2026: Eligibility module v1 (w18_eligibility/) — ELIGIBLE/NOT_ELIGIBLE/UNKNOWN (+DA_HOAN_THANH, MAU_THUAN) cho LVTN, TLTN, niên luận, niên luận cơ sở, thực tập, tích lũy TC thay LVTN (Đ31 k3), HP thay thế (QĐ5339 Đ3 k9); lý do (thiếu TC/tiên quyết) + chứng chỉ điều/khoản + câu hỏi bổ sung. validate_eligibility 36/36 (tự soạn), mọi tuần 5–18 ĐẠT. Phát hiện P18-1: prototype luôn FALSE cho "đủ điều kiện làm luận văn" (claim du_dk_tc không đối số) — đã sửa. CẬP NHẬT QD-12 (Loi xác nhận 18/10/2026): điều kiện nhận đề tài LVTN/TLTN CHỈ là ngưỡng TC → đủ 120 TC = ELIGIBLE; R-F04 N→F; R-Formal F=59 P=8 N=4, Formalization 83,1%, Executable 60,6%. LƯU Ý: xác nhận ngoài văn bản — nên có email/biên bản.</t>
        </is>
      </c>
    </row>
    <row r="20">
      <c r="A20" s="2" t="inlineStr">
        <is>
          <t>19</t>
        </is>
      </c>
      <c r="B20" s="2" t="inlineStr">
        <is>
          <t>Recommendation</t>
        </is>
      </c>
      <c r="C20" s="2" t="inlineStr">
        <is>
          <t>Recommendation engine</t>
        </is>
      </c>
      <c r="D20" s="2" t="inlineStr">
        <is>
          <t>Chỉ recommend phương án đã chứng minh hợp lệ</t>
        </is>
      </c>
      <c r="E20" s="2" t="inlineStr">
        <is>
          <t>Recommendation v1</t>
        </is>
      </c>
      <c r="F20" s="2" t="inlineStr">
        <is>
          <t>Không recommend Not Eligible</t>
        </is>
      </c>
      <c r="G20" s="2" t="inlineStr">
        <is>
          <t>Hoàn thành</t>
        </is>
      </c>
      <c r="H20" s="2" t="inlineStr">
        <is>
          <t>18/10/2026: Recommendation v1 (w19_recommendation/) — đề xuất đăng ký 1 HK (hk 1/2/3): ứng viên hợp lệ trên MỌI thế giới (du_dk_dang_ky TRUE, chưa tích lũy, mở HK, cần cho CTĐT; nhóm một nhánh), clingo tối ưu ≤20 TC (R-C01) + ưu tiên CHÍNH SÁCH (bắt buộc → mở khóa → nhóm → TC); UNKNOWN → cần xác minh; hình thức tốt nghiệp qua Eligibility; xin miễn (nộp đơn, QD-11); thay thế (R-M13). validate_recommendation 39/39 (tự soạn), bất biến kiểm lại độc lập 21 lần đề xuất, mọi tuần 5–19 ĐẠT. CẬP NHẬT: QD-13 RÚT LẠI sau khi đối chiếu PDF gốc — song hành theo đúng QĐ3266 Đ7 k5 (học trước/cùng lúc; đã học kể cả F, W không tính) → ràng buộc cứng. Trang 20 QĐ3266 (OCR trắng) đã chép tay từ PDF gốc. Phát hiện P19-1 (đủ ĐK xin miễn ≠ cần), P19-2 (AV tăng cường trước căn bản), P19-3 (parser kì/kỳ, HK4, NFD). Hạn chế: chỉ 1 HK, chưa lịch học. | SAU TUẦN 19: R-Formal v1.9 — song hành khi hỏi đăng ký MỘT HP: duoc_dang_ky = tiên quyết + song hành (bắc cầu; chưa học → phải học cùng kỳ; HP song hành không đăng ký được → chặn). P19-4: câu 'đăng ký CT180 được chưa' trước đây bị trả lời thành tot_nghiep (khoá parser viết HOA không khớp) — đã sửa, kèm ca hồi quy.</t>
        </is>
      </c>
    </row>
    <row r="21">
      <c r="A21" s="2" t="inlineStr">
        <is>
          <t>20</t>
        </is>
      </c>
      <c r="B21" s="2" t="inlineStr">
        <is>
          <t>Evaluation</t>
        </is>
      </c>
      <c r="C21" s="2" t="inlineStr">
        <is>
          <t>Xây benchmark</t>
        </is>
      </c>
      <c r="D21" s="2" t="inlineStr">
        <is>
          <t>Hoàn thiện Q-Real, G-Truth, OCR-Noise, baseline</t>
        </is>
      </c>
      <c r="E21" s="2" t="inlineStr">
        <is>
          <t>Evaluation dataset</t>
        </is>
      </c>
      <c r="F21" s="2" t="inlineStr">
        <is>
          <t>Có ground truth</t>
        </is>
      </c>
      <c r="G21" s="2" t="inlineStr">
        <is>
          <t>Hoàn thành một phần</t>
        </is>
      </c>
      <c r="H21" s="2" t="inlineStr">
        <is>
          <t>18/10/2026: w20_benchmark/ — G-Truth v1 115 ca (114 chấm) + OCR-Noise v1 40 ca, gold viết tay + nguồn + oracle độc lập (41 tiền đề), loai_gold quy_che/thiet_ke, soát độc lập (không chạy hệ thống) rồi ĐÓNG BĂNG 312b7ff trước lần chạy đầu; không trùng w17; dev/test. Đầu vào baseline trung lập (baseline_dev/test.jsonl). Q-Real: pipeline nhập/ẩn danh xong, CHƯA ĐẠT 0/400 (chờ câu hỏi thật). Chạy dev: G-Truth Soundness 89,7% (6 unsound: P20-1 hạng tốt nghiệp mốc nguyên, P20-2/3 parser), OCR-Noise 100% sound, coverage 25% (M2 từ chối thừa). validate_benchmark ĐẠT. SỬA P20-1 (R-Formal v1.10: hạng so hữu tỉ theo cận dưới, QD-14 không làm tròn ĐTBCTL), P20-2 (parser không mặc định tot_nghiep → UNKNOWN 'chưa hỗ trợ'), P20-3 (đăng ký có tên HP chen giữa) — ca hồi quy fail với luật cũ; G-Truth dev sau sửa 100% sound (dev đã nhìn thấy; số chính thức = test, Tuần 22). Còn: Q-Real 0/400, P20-4. Mọi tuần 5–20 ĐẠT. | Q-Noise v1 (TỔNG HỢP, không thay Q-Real): 240 câu = 48 câu G-Truth × 5 kiểu gõ (gốc/bỏ dấu/viết tắt/gõ vội/bỏ dấu+viết tắt), gold kế thừa + ý định gán tay, đóng băng 5d8601c; dev: Sound 96,9%, Coverage 38,5% (V2/V4 0%), phát hiện P20-5 (4 unsound: luan van không dấu → tot_nghiep) → đã sửa (parser chuẩn hoá bỏ dấu từ khoá + viết tắt theo ngữ cảnh, E17–E28, 2 lượt review); sau sửa (dev đã thấy, file _sau_P20-5): Q-Noise 100% sound / 88,5% coverage, G-Truth không đổi. | 19/10/2026: Google Form thu câu hỏi (đồng ý NĐ 13/2023, mã rút lại, câu tự do trước kịch bản) + Q-Elicit 20 kịch bản đóng băng (báo riêng, không tính); Q-Real vẫn chưa đạt 0/400 — chờ Loi phát form.</t>
        </is>
      </c>
    </row>
    <row r="22">
      <c r="A22" s="2" t="inlineStr">
        <is>
          <t>21</t>
        </is>
      </c>
      <c r="B22" s="2" t="inlineStr">
        <is>
          <t>Evaluation</t>
        </is>
      </c>
      <c r="C22" s="2" t="inlineStr">
        <is>
          <t>Chạy baseline</t>
        </is>
      </c>
      <c r="D22" s="2" t="inlineStr">
        <is>
          <t>Đánh giá LLM, RAG, tool-calling/RAG</t>
        </is>
      </c>
      <c r="E22" s="2" t="inlineStr">
        <is>
          <t>Baseline results</t>
        </is>
      </c>
      <c r="F22" s="2" t="inlineStr">
        <is>
          <t>Có bảng kết quả</t>
        </is>
      </c>
      <c r="G22" s="2" t="inlineStr">
        <is>
          <t>Chưa làm</t>
        </is>
      </c>
      <c r="H22" s="2" t="inlineStr"/>
    </row>
    <row r="23">
      <c r="A23" s="2" t="inlineStr">
        <is>
          <t>22</t>
        </is>
      </c>
      <c r="B23" s="2" t="inlineStr">
        <is>
          <t>Evaluation</t>
        </is>
      </c>
      <c r="C23" s="2" t="inlineStr">
        <is>
          <t>Đánh giá CPA²</t>
        </is>
      </c>
      <c r="D23" s="2" t="inlineStr">
        <is>
          <t>Soundness, Coverage, Selective Accuracy, consistency</t>
        </is>
      </c>
      <c r="E23" s="2" t="inlineStr">
        <is>
          <t>CPA² results</t>
        </is>
      </c>
      <c r="F23" s="2" t="inlineStr">
        <is>
          <t>Có số liệu + error analysis</t>
        </is>
      </c>
      <c r="G23" s="2" t="inlineStr">
        <is>
          <t>Chưa làm</t>
        </is>
      </c>
      <c r="H23" s="2" t="inlineStr"/>
    </row>
    <row r="24">
      <c r="A24" s="2" t="inlineStr">
        <is>
          <t>23</t>
        </is>
      </c>
      <c r="B24" s="2" t="inlineStr">
        <is>
          <t>Evaluation</t>
        </is>
      </c>
      <c r="C24" s="2" t="inlineStr">
        <is>
          <t>So sánh &amp; phân tích</t>
        </is>
      </c>
      <c r="D24" s="2" t="inlineStr">
        <is>
          <t>So sánh baseline/CPA²; phân tích case fail</t>
        </is>
      </c>
      <c r="E24" s="2" t="inlineStr">
        <is>
          <t>Comparison + discussion</t>
        </is>
      </c>
      <c r="F24" s="2" t="inlineStr">
        <is>
          <t>Nêu rõ cải thiện và hạn chế</t>
        </is>
      </c>
      <c r="G24" s="2" t="inlineStr">
        <is>
          <t>Chưa làm</t>
        </is>
      </c>
      <c r="H24" s="2" t="inlineStr"/>
    </row>
    <row r="25">
      <c r="A25" s="2" t="inlineStr">
        <is>
          <t>24</t>
        </is>
      </c>
      <c r="B25" s="2" t="inlineStr">
        <is>
          <t>Hoàn thiện</t>
        </is>
      </c>
      <c r="C25" s="2" t="inlineStr">
        <is>
          <t>Viết luận văn &amp; demo</t>
        </is>
      </c>
      <c r="D25" s="2" t="inlineStr">
        <is>
          <t>Hoàn thiện chương, biểu đồ, demo, chuẩn bị bảo vệ</t>
        </is>
      </c>
      <c r="E25" s="2" t="inlineStr">
        <is>
          <t>Final thesis + demo</t>
        </is>
      </c>
      <c r="F25" s="2" t="inlineStr">
        <is>
          <t>End-to-end chạy ổn định</t>
        </is>
      </c>
      <c r="G25" s="2" t="inlineStr">
        <is>
          <t>Chưa làm</t>
        </is>
      </c>
      <c r="H25" s="2" t="inlineStr"/>
    </row>
  </sheetData>
  <autoFilter ref="A1:H25"/>
  <dataValidations count="1">
    <dataValidation sqref="G2:G25" showDropDown="0" showInputMessage="0" showErrorMessage="0" allowBlank="0" type="list">
      <formula1>"Chưa làm,Đang làm,Hoàn thành,Blocked"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60" customWidth="1" min="1" max="1"/>
    <col width="18" customWidth="1" min="2" max="2"/>
  </cols>
  <sheetData>
    <row r="1">
      <c r="A1" s="1" t="inlineStr">
        <is>
          <t>CPA² — THEO DÕI NGHIÊN CỨU</t>
        </is>
      </c>
      <c r="B1" s="1" t="n"/>
    </row>
    <row r="2">
      <c r="A2" s="2" t="n"/>
      <c r="B2" s="2" t="n"/>
    </row>
    <row r="3">
      <c r="A3" s="2" t="inlineStr">
        <is>
          <t>Tổng số tuần</t>
        </is>
      </c>
      <c r="B3" s="2" t="n">
        <v>24</v>
      </c>
    </row>
    <row r="4">
      <c r="A4" s="2" t="inlineStr">
        <is>
          <t>Đã hoàn thành</t>
        </is>
      </c>
      <c r="B4" s="2">
        <f>COUNTIF('Kế hoạch 24 tuần'!G2:G25,"Hoàn thành")</f>
        <v/>
      </c>
    </row>
    <row r="5">
      <c r="A5" s="2" t="inlineStr">
        <is>
          <t>Đang làm</t>
        </is>
      </c>
      <c r="B5" s="2">
        <f>COUNTIF('Kế hoạch 24 tuần'!G2:G25,"Đang làm")</f>
        <v/>
      </c>
    </row>
    <row r="6">
      <c r="A6" s="2" t="inlineStr">
        <is>
          <t>Chưa làm</t>
        </is>
      </c>
      <c r="B6" s="2">
        <f>COUNTIF('Kế hoạch 24 tuần'!G2:G25,"Chưa làm")</f>
        <v/>
      </c>
    </row>
    <row r="7">
      <c r="A7" s="2" t="inlineStr">
        <is>
          <t>Tiến độ</t>
        </is>
      </c>
      <c r="B7" s="3">
        <f>B4/B3</f>
        <v/>
      </c>
    </row>
    <row r="8">
      <c r="A8" s="2" t="n"/>
      <c r="B8" s="2" t="n"/>
    </row>
    <row r="9">
      <c r="A9" s="2" t="n"/>
      <c r="B9" s="2" t="n"/>
    </row>
    <row r="10">
      <c r="A10" s="2" t="inlineStr">
        <is>
          <t>Mỗi tuần bắt buộc phải có:</t>
        </is>
      </c>
      <c r="B10" s="2" t="n"/>
    </row>
    <row r="11">
      <c r="A11" s="2" t="inlineStr">
        <is>
          <t>1. Một phần nghiên cứu/đọc tài liệu hoàn thành</t>
        </is>
      </c>
      <c r="B11" s="2" t="n"/>
    </row>
    <row r="12">
      <c r="A12" s="2" t="inlineStr">
        <is>
          <t>2. Một artifact cụ thể (note, rule, code, dataset, result...)</t>
        </is>
      </c>
      <c r="B12" s="2" t="n"/>
    </row>
    <row r="13">
      <c r="A13" s="2" t="inlineStr">
        <is>
          <t>3. Một tiêu chí kiểm chứng</t>
        </is>
      </c>
      <c r="B13" s="2" t="n"/>
    </row>
    <row r="14">
      <c r="A14" s="2" t="inlineStr">
        <is>
          <t>4. Ghi lại case lỗi / vấn đề phát hiện được</t>
        </is>
      </c>
      <c r="B14" s="2" t="n"/>
    </row>
    <row r="15">
      <c r="A15" s="2" t="inlineStr">
        <is>
          <t>5. Cập nhật đề cương hoặc luận văn nếu có kết quả quan trọng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0" activePane="bottomLeft" state="frozen"/>
      <selection activeCell="A1" sqref="A1"/>
      <selection pane="bottomLeft" activeCell="B2" sqref="B2"/>
    </sheetView>
  </sheetViews>
  <sheetFormatPr baseColWidth="8" defaultColWidth="9" defaultRowHeight="14.4"/>
  <cols>
    <col width="8" customWidth="1" min="1" max="1"/>
    <col width="20" customWidth="1" min="2" max="4"/>
    <col width="25" customWidth="1" min="5" max="5"/>
    <col width="35" customWidth="1" min="6" max="6"/>
    <col width="25" customWidth="1" min="7" max="7"/>
  </cols>
  <sheetData>
    <row r="1">
      <c r="A1" s="1" t="inlineStr">
        <is>
          <t>Tuần</t>
        </is>
      </c>
      <c r="B1" s="1" t="inlineStr">
        <is>
          <t>Đọc/Nghiên cứu</t>
        </is>
      </c>
      <c r="C1" s="1" t="inlineStr">
        <is>
          <t>Code/Prototype</t>
        </is>
      </c>
      <c r="D1" s="1" t="inlineStr">
        <is>
          <t>Dataset/Test</t>
        </is>
      </c>
      <c r="E1" s="1" t="inlineStr">
        <is>
          <t>Artifact</t>
        </is>
      </c>
      <c r="F1" s="1" t="inlineStr">
        <is>
          <t>Case lỗi / phát hiện</t>
        </is>
      </c>
      <c r="G1" s="1" t="inlineStr">
        <is>
          <t>Ghi chú</t>
        </is>
      </c>
    </row>
    <row r="2">
      <c r="A2" s="2" t="n">
        <v>1</v>
      </c>
      <c r="B2" s="2" t="inlineStr">
        <is>
          <t>☑</t>
        </is>
      </c>
      <c r="C2" s="2" t="inlineStr">
        <is>
          <t>☑</t>
        </is>
      </c>
      <c r="D2" s="2" t="inlineStr">
        <is>
          <t>☑</t>
        </is>
      </c>
      <c r="E2" s="2" t="inlineStr">
        <is>
          <t>☑</t>
        </is>
      </c>
      <c r="F2" s="2" t="inlineStr">
        <is>
          <t>☑</t>
        </is>
      </c>
      <c r="G2" s="2" t="inlineStr"/>
    </row>
    <row r="3">
      <c r="A3" s="2" t="n">
        <v>2</v>
      </c>
      <c r="B3" s="2" t="inlineStr">
        <is>
          <t>☑</t>
        </is>
      </c>
      <c r="C3" s="2" t="inlineStr">
        <is>
          <t>☑</t>
        </is>
      </c>
      <c r="D3" s="2" t="inlineStr">
        <is>
          <t>☑</t>
        </is>
      </c>
      <c r="E3" s="2" t="inlineStr">
        <is>
          <t>☑</t>
        </is>
      </c>
      <c r="F3" s="2" t="inlineStr">
        <is>
          <t>☑</t>
        </is>
      </c>
      <c r="G3" s="2" t="inlineStr"/>
    </row>
    <row r="4">
      <c r="A4" s="2" t="n">
        <v>3</v>
      </c>
      <c r="B4" s="2" t="inlineStr">
        <is>
          <t>☑</t>
        </is>
      </c>
      <c r="C4" s="2" t="inlineStr">
        <is>
          <t>☑</t>
        </is>
      </c>
      <c r="D4" s="2" t="inlineStr">
        <is>
          <t>☑</t>
        </is>
      </c>
      <c r="E4" s="2" t="inlineStr">
        <is>
          <t>☑</t>
        </is>
      </c>
      <c r="F4" s="2" t="inlineStr">
        <is>
          <t>☑</t>
        </is>
      </c>
      <c r="G4" s="2" t="inlineStr"/>
    </row>
    <row r="5">
      <c r="A5" s="2" t="n">
        <v>4</v>
      </c>
      <c r="B5" s="2" t="inlineStr">
        <is>
          <t>☑</t>
        </is>
      </c>
      <c r="C5" s="2" t="inlineStr">
        <is>
          <t>☑</t>
        </is>
      </c>
      <c r="D5" s="2" t="inlineStr">
        <is>
          <t>☑</t>
        </is>
      </c>
      <c r="E5" s="2" t="inlineStr">
        <is>
          <t>☑</t>
        </is>
      </c>
      <c r="F5" s="2" t="inlineStr">
        <is>
          <t>☑</t>
        </is>
      </c>
      <c r="G5" s="2" t="inlineStr"/>
    </row>
    <row r="6" ht="172.8" customHeight="1">
      <c r="A6" s="2" t="n">
        <v>5</v>
      </c>
      <c r="B6" s="2" t="inlineStr">
        <is>
          <t>☑</t>
        </is>
      </c>
      <c r="C6" s="2" t="inlineStr">
        <is>
          <t>☑</t>
        </is>
      </c>
      <c r="D6" s="2" t="inlineStr">
        <is>
          <t>☑</t>
        </is>
      </c>
      <c r="E6" s="2" t="inlineStr">
        <is>
          <t>☑</t>
        </is>
      </c>
      <c r="F6" s="2" t="inlineStr">
        <is>
          <t>☑</t>
        </is>
      </c>
      <c r="G6" s="2" t="inlineStr">
        <is>
          <t>Đọc: QĐ3266 (36 điều) + QĐ5339 (4 điều) | Code: 2 file .lp, 53 quy tắc | Test: 29/29 đạt | Artifact: r_formal_v1.json (v1.2, 93 bản ghi) + 3 tài liệu MD | Lỗi/phát hiện: OCR trang trắng im lặng; sai tham số ngưỡng cảnh báo ở Tuần 4; QD-01 của v1.0 quá rộng; xung đột bảng quy đổi giữa 2 văn bản cùng hiệu lực</t>
        </is>
      </c>
    </row>
    <row r="7" ht="302.4" customHeight="1">
      <c r="A7" s="2" t="n">
        <v>6</v>
      </c>
      <c r="B7" s="2" t="inlineStr">
        <is>
          <t>☑</t>
        </is>
      </c>
      <c r="C7" s="2" t="inlineStr">
        <is>
          <t>☑</t>
        </is>
      </c>
      <c r="D7" s="2" t="inlineStr">
        <is>
          <t>☑</t>
        </is>
      </c>
      <c r="E7" s="2" t="inlineStr">
        <is>
          <t>☑</t>
        </is>
      </c>
      <c r="F7" s="2" t="inlineStr">
        <is>
          <t>☑</t>
        </is>
      </c>
      <c r="G7" s="2" t="inlineStr">
        <is>
          <t>Đọc: khung CTĐT CNTT K49 (QĐ2423, 78 dòng, trang 4 là ảnh quét) | Code: build_curriculum.py, curriculum_schema.lp, validate_curriculum.py; R-Formal v1.5 | Test: 31/31 (S6+P4+I21), 39/39 Tuần 5 chạy trên KB mới | Artifact: Curriculum KB v1 + Tuan6_Curriculum_KB_v1.md + ERRATA Tuần 4 | Lỗi/phát hiện: LVTN là tự chọn; L1 (đòi mọi HP ngoại ngữ), L2 (dk_tu_chon đúng rỗng — dương tính giả), L3 (bỏ qua T4b); CQ-05 (161 TC gồm 21 TC điều kiện làm Đ.33 k.2 gần như không kích hoạt); optN làm sai số đo Tuần 4; CQ-06 → ba trị hai lượng từ (∀∃)</t>
        </is>
      </c>
    </row>
    <row r="8">
      <c r="A8" s="2" t="n">
        <v>7</v>
      </c>
      <c r="B8" s="2" t="inlineStr">
        <is>
          <t>☑</t>
        </is>
      </c>
      <c r="C8" s="2" t="inlineStr">
        <is>
          <t>☑</t>
        </is>
      </c>
      <c r="D8" s="2" t="inlineStr">
        <is>
          <t>☑</t>
        </is>
      </c>
      <c r="E8" s="2" t="inlineStr">
        <is>
          <t>☑</t>
        </is>
      </c>
      <c r="F8" s="2" t="inlineStr">
        <is>
          <t>☑</t>
        </is>
      </c>
      <c r="G8" s="2" t="inlineStr">
        <is>
          <t>Đọc: QĐ5339 Đ2 k6, Đ3 k4–5, Phụ lục 1 (chứng chỉ/miễn) | Code: student_fact_schema.json, validate_student_facts.py (thêm kiểm schema 09/10) | Test: 6/6 hồ sơ + loader | Artifact: 6 hồ sơ JSON + Tuan7_Student_Fact_Model.md (viết bù 09/10) | Lỗi/phát hiện: L7-1 R-M06 cho IELTS xin miễn cả Pháp văn → R-Formal v1.6; L7-2 loader chỉ nhân 10 điểm IELTS (TOEIC/TOEFL không bao giờ đạt bậc) — sửa ở w7/w11/w12</t>
        </is>
      </c>
    </row>
    <row r="9">
      <c r="A9" s="2" t="n">
        <v>8</v>
      </c>
      <c r="B9" s="2" t="inlineStr">
        <is>
          <t>☑</t>
        </is>
      </c>
      <c r="C9" s="2" t="inlineStr">
        <is>
          <t>☑</t>
        </is>
      </c>
      <c r="D9" s="2" t="inlineStr">
        <is>
          <t>☑</t>
        </is>
      </c>
      <c r="E9" s="2" t="inlineStr">
        <is>
          <t>☑</t>
        </is>
      </c>
      <c r="F9" s="2" t="inlineStr">
        <is>
          <t>☑</t>
        </is>
      </c>
      <c r="G9" s="2" t="inlineStr">
        <is>
          <t>Đọc: QĐ3266 Đ7 k3 + CTĐT K49 | Code: elective_solver.lp | Test: 29/29 | Artifact: Tuan8_Elective_N_of_M.md | Lỗi/phát hiện: K49 KHÔNG có nhóm '10 chọn 2' — dùng nhóm demo DEMO1-4 cho kiểu đếm môn</t>
        </is>
      </c>
    </row>
    <row r="10">
      <c r="A10" s="2" t="n">
        <v>9</v>
      </c>
      <c r="B10" s="2" t="inlineStr">
        <is>
          <t>☑</t>
        </is>
      </c>
      <c r="C10" s="2" t="inlineStr">
        <is>
          <t>☑</t>
        </is>
      </c>
      <c r="D10" s="2" t="inlineStr">
        <is>
          <t>☑</t>
        </is>
      </c>
      <c r="E10" s="2" t="inlineStr">
        <is>
          <t>☑</t>
        </is>
      </c>
      <c r="F10" s="2" t="inlineStr">
        <is>
          <t>☑</t>
        </is>
      </c>
      <c r="G10" s="2" t="inlineStr">
        <is>
          <t>Đọc: QĐ5339 Đ3 k4–11 + QĐ3266 Đ22 | Code: exemption_substitution_solver.lp | Test: 22/22 | Artifact: Tuan9_Exemption_Substitution.md | Lỗi/phát hiện: bẫy 'có IELTS → đã được miễn' (QD-11); LVTN không phải HP thay thế ở K49</t>
        </is>
      </c>
    </row>
    <row r="11">
      <c r="A11" s="2" t="n">
        <v>10</v>
      </c>
      <c r="B11" s="2" t="inlineStr">
        <is>
          <t>☑</t>
        </is>
      </c>
      <c r="C11" s="2" t="inlineStr">
        <is>
          <t>☑</t>
        </is>
      </c>
      <c r="D11" s="2" t="inlineStr">
        <is>
          <t>☑</t>
        </is>
      </c>
      <c r="E11" s="2" t="inlineStr">
        <is>
          <t>☑</t>
        </is>
      </c>
      <c r="F11" s="2" t="inlineStr">
        <is>
          <t>☐</t>
        </is>
      </c>
      <c r="G11" s="2" t="inlineStr">
        <is>
          <t>Đọc: QĐ3266 Đ7 k4–5, điều kiện tốt nghiệp | Code: graduation_solver.lp | Test: 19/19 | Artifact: Tuan10_Prerequisite_Graduation.md | Lỗi/phát hiện: báo cáo không ghi case lỗi nào — để ☐</t>
        </is>
      </c>
    </row>
    <row r="12">
      <c r="A12" s="2" t="n">
        <v>11</v>
      </c>
      <c r="B12" s="2" t="inlineStr">
        <is>
          <t>☐</t>
        </is>
      </c>
      <c r="C12" s="2" t="inlineStr">
        <is>
          <t>☑</t>
        </is>
      </c>
      <c r="D12" s="2" t="inlineStr">
        <is>
          <t>☑</t>
        </is>
      </c>
      <c r="E12" s="2" t="inlineStr">
        <is>
          <t>☑</t>
        </is>
      </c>
      <c r="F12" s="2" t="inlineStr">
        <is>
          <t>☐</t>
        </is>
      </c>
      <c r="G12" s="2" t="inlineStr">
        <is>
          <t>Đọc: không có phần đọc tài liệu về proof/certificate | Code: generate_certificate.py, proof_schema.json | Test: 13/13 | Artifact: Tuan11_Proof_Certificate.md | Lỗi/phát hiện: không ghi — để ☐</t>
        </is>
      </c>
    </row>
    <row r="13">
      <c r="A13" s="2" t="n">
        <v>12</v>
      </c>
      <c r="B13" s="2" t="inlineStr">
        <is>
          <t>☐</t>
        </is>
      </c>
      <c r="C13" s="2" t="inlineStr">
        <is>
          <t>☑</t>
        </is>
      </c>
      <c r="D13" s="2" t="inlineStr">
        <is>
          <t>☑</t>
        </is>
      </c>
      <c r="E13" s="2" t="inlineStr">
        <is>
          <t>☑</t>
        </is>
      </c>
      <c r="F13" s="2" t="inlineStr">
        <is>
          <t>☐</t>
        </is>
      </c>
      <c r="G13" s="2" t="inlineStr">
        <is>
          <t>Đọc: không ghi | Code: prototype.py (4 tầng) | Test: 11/11 | Artifact: Tuan12_Tich_hop_Solver_Proof.md | Lỗi/phát hiện: không ghi — để ☐</t>
        </is>
      </c>
    </row>
    <row r="14">
      <c r="A14" s="2" t="n">
        <v>13</v>
      </c>
      <c r="B14" s="2" t="inlineStr">
        <is>
          <t>☐</t>
        </is>
      </c>
      <c r="C14" s="2" t="inlineStr">
        <is>
          <t>☑</t>
        </is>
      </c>
      <c r="D14" s="2" t="inlineStr">
        <is>
          <t>☑</t>
        </is>
      </c>
      <c r="E14" s="2" t="inlineStr">
        <is>
          <t>☑</t>
        </is>
      </c>
      <c r="F14" s="2" t="inlineStr">
        <is>
          <t>☐</t>
        </is>
      </c>
      <c r="G14" s="2" t="inlineStr">
        <is>
          <t>Đọc: chưa đọc tài liệu semantic parsing | Code: parser.py | Test: 20/20 (bộ tự soạn) | Artifact: Tuan13_Semantic_Parser.md | LƯU Ý: parser là template regex, phần LLM mới là stub — 100% chưa phải kết quả của LLM</t>
        </is>
      </c>
    </row>
    <row r="15">
      <c r="A15" s="2" t="n">
        <v>14</v>
      </c>
      <c r="B15" s="2" t="inlineStr">
        <is>
          <t>☐</t>
        </is>
      </c>
      <c r="C15" s="2" t="inlineStr">
        <is>
          <t>☑</t>
        </is>
      </c>
      <c r="D15" s="2" t="inlineStr">
        <is>
          <t>☑</t>
        </is>
      </c>
      <c r="E15" s="2" t="inlineStr">
        <is>
          <t>☑</t>
        </is>
      </c>
      <c r="F15" s="2" t="inlineStr">
        <is>
          <t>☑</t>
        </is>
      </c>
      <c r="G15" s="2" t="inlineStr">
        <is>
          <t>Đọc: chưa đọc tài liệu RAG/BM25 mới (dựa trên Tuần 3) | Code: build_corpus.py, retriever.py, validate_rag.py, grounded_answer.py | Test: 48 câu (24 dev/24 test), grounding 3 hồ sơ, hậu kiểm 3 ca | Artifact: corpus.jsonl + Tuan14_RAG_Grounding.md | Lỗi/phát hiện: OCR hỏng số khoản + trang 20 trắng; TF-IDF ký tự làm giảm kết quả; bẫy QD-09 ở truy hồi; tiên quyết ngược chiều (CT177/CT188)</t>
        </is>
      </c>
    </row>
    <row r="16">
      <c r="A16" s="2" t="n">
        <v>15</v>
      </c>
      <c r="B16" s="2" t="inlineStr">
        <is>
          <t>☐</t>
        </is>
      </c>
      <c r="C16" s="2" t="inlineStr">
        <is>
          <t>☑</t>
        </is>
      </c>
      <c r="D16" s="2" t="inlineStr">
        <is>
          <t>☑</t>
        </is>
      </c>
      <c r="E16" s="2" t="inlineStr">
        <is>
          <t>☑</t>
        </is>
      </c>
      <c r="F16" s="2" t="inlineStr">
        <is>
          <t>☑</t>
        </is>
      </c>
      <c r="G16" s="2" t="inlineStr">
        <is>
          <t>Đọc: không có phần đọc tài liệu OCR mới | Code: render_transcript.py, ocr_transcript.py, validate_ocr.py | Test: A chuẩn hoá, B 18 ca tổng hợp, C 3 ca tiêm lỗi, E 2 ca hồi quy, D bảng điểm thật | Artifact: Tuan15_OCR_Bang_Diem.md | Lỗi/phát hiện: F/A không đơn điệu; học lại; thế giới đóng ở KB; CC004; GDTC TC025–027; xoay -0,05° làm hỏng OCR</t>
        </is>
      </c>
    </row>
    <row r="17">
      <c r="A17" s="2" t="n">
        <v>16</v>
      </c>
      <c r="B17" s="2" t="inlineStr">
        <is>
          <t>☐</t>
        </is>
      </c>
      <c r="C17" s="2" t="inlineStr">
        <is>
          <t>☑</t>
        </is>
      </c>
      <c r="D17" s="2" t="inlineStr">
        <is>
          <t>☑</t>
        </is>
      </c>
      <c r="E17" s="2" t="inlineStr">
        <is>
          <t>☑</t>
        </is>
      </c>
      <c r="F17" s="2" t="inlineStr">
        <is>
          <t>☑</t>
        </is>
      </c>
      <c r="G17" s="2" t="inlineStr">
        <is>
          <t>Đọc: không có phần đọc tài liệu ba trị/abstention mới | Code: abstention.py, graduation_solver.lp mục 0, loader w7/w11/w12 | Test: validate_abstention 30/30 (A11 B10 C5 D4); hồi quy P16-2 w5 C9b/c, w10 B7b–d, w10 B6 đổi FALSE→UNKNOWN + B6b | Artifact: Tuan16_Abstention_Engine.md | Lỗi/phát hiện: khai_bao tự triệt nhánh (P16-1); tot_nghiep bỏ qua thời gian (P16-2, đã sửa v1.7); tc_cong_nhan thế giới đóng; đường dẫn D:/ &amp; font Windows; g10 nhiều giá trị/mô hình</t>
        </is>
      </c>
    </row>
    <row r="18">
      <c r="A18" s="2" t="n">
        <v>17</v>
      </c>
      <c r="B18" s="2" t="inlineStr">
        <is>
          <t>☐</t>
        </is>
      </c>
      <c r="C18" s="2" t="inlineStr">
        <is>
          <t>☑</t>
        </is>
      </c>
      <c r="D18" s="2" t="inlineStr">
        <is>
          <t>☑</t>
        </is>
      </c>
      <c r="E18" s="2" t="inlineStr">
        <is>
          <t>☑</t>
        </is>
      </c>
      <c r="F18" s="2" t="inlineStr">
        <is>
          <t>☑</t>
        </is>
      </c>
      <c r="G18" s="2" t="inlineStr">
        <is>
          <t>Đọc: không có phần đọc tài liệu adversarial evaluation mới (chỉ đọc lại QĐ3266/QĐ5339 để lấy nguồn gold) | Code: build_adversarial.py, oracle.py, dau_vao.py, run_adversarial.py, validate_adversarial.py | Test/Dataset: 80 ca (dev 41/test 39), gold đóng băng 200b860 | Artifact: adversarial_set.json + Tuan17_Adversarial_Set.md | Lỗi/phát hiện: P17-1 hồ sơ mâu thuẫn 0/6; P17-2 OCR nhất quán 2/2; P17-3 1 HK = 1/3 năm (Đ6 k1); errata E17-1…5 | Sau T17: sửa P17-1/2/3 (TDD: w16 E1–E12, w15 F1–F4, w5 C16b, w10 B7e) | Hoàn tất trước T18: loader dùng chung w7/loader.py (L1–L3), w15 tự dò font/Tesseract, sổ Viec_ton_dong.md (22 mục cũ đã tích kèm con trỏ)</t>
        </is>
      </c>
    </row>
    <row r="19">
      <c r="A19" s="2" t="n">
        <v>18</v>
      </c>
      <c r="B19" s="2" t="inlineStr">
        <is>
          <t>☐</t>
        </is>
      </c>
      <c r="C19" s="2" t="inlineStr">
        <is>
          <t>☑</t>
        </is>
      </c>
      <c r="D19" s="2" t="inlineStr">
        <is>
          <t>☑</t>
        </is>
      </c>
      <c r="E19" s="2" t="inlineStr">
        <is>
          <t>☑</t>
        </is>
      </c>
      <c r="F19" s="2" t="inlineStr">
        <is>
          <t>☑</t>
        </is>
      </c>
      <c r="G19" s="2" t="inlineStr">
        <is>
          <t>Đọc: không có phần đọc tài liệu mới (chỉ đối chiếu QĐ3266 Đ31, CTĐT) | Code: eligibility.lp, eligibility.py, prototype.answer_eligibility, loader hinh_thuc_cuoi_khoa | Test: validate_eligibility 36/36 | Artifact: Tuan18_Eligibility.md | Lỗi/phát hiện: P18-1 claim du_dk_tc không đối số → luôn FALSE; P18-2 đủ TC ≠ đủ ĐK (R-F04); P18-3 đã xong hình thức khác</t>
        </is>
      </c>
    </row>
    <row r="20">
      <c r="A20" s="2" t="n">
        <v>19</v>
      </c>
      <c r="B20" s="2" t="inlineStr">
        <is>
          <t>☐</t>
        </is>
      </c>
      <c r="C20" s="2" t="inlineStr">
        <is>
          <t>☑</t>
        </is>
      </c>
      <c r="D20" s="2" t="inlineStr">
        <is>
          <t>☑</t>
        </is>
      </c>
      <c r="E20" s="2" t="inlineStr">
        <is>
          <t>☑</t>
        </is>
      </c>
      <c r="F20" s="2" t="inlineStr">
        <is>
          <t>☑</t>
        </is>
      </c>
      <c r="G20" s="2" t="inlineStr">
        <is>
          <t>Đọc: không có phần đọc tài liệu mới | Code: recommendation.py, recommendation.lp, prototype.answer_recommendation + parser de_xuat | Test: validate_recommendation 39/39 | Artifact: Tuan19_Recommendation.md | Lỗi/phát hiện: P19-1 đủ ĐK xin miễn ≠ cần; P19-2 ưu tiên TC chọn AV tăng cường trước căn bản; P19-3 parser học kỳ/ý định</t>
        </is>
      </c>
    </row>
    <row r="21">
      <c r="A21" s="2" t="n">
        <v>20</v>
      </c>
      <c r="B21" s="2" t="inlineStr">
        <is>
          <t>☐</t>
        </is>
      </c>
      <c r="C21" s="2" t="inlineStr">
        <is>
          <t>☑</t>
        </is>
      </c>
      <c r="D21" s="2" t="inlineStr">
        <is>
          <t>☑</t>
        </is>
      </c>
      <c r="E21" s="2" t="inlineStr">
        <is>
          <t>☑</t>
        </is>
      </c>
      <c r="F21" s="2" t="inlineStr">
        <is>
          <t>☑</t>
        </is>
      </c>
      <c r="G21" s="2" t="inlineStr">
        <is>
          <t>Đọc: không | Code: build_benchmark.py, validate_benchmark.py, run_cpa2.py, baseline.py, nhap_qreal.py | Test: validate_benchmark B1–B11 ĐẠT | Artifact: Tuan20_Benchmark.md, gtruth.json, ocr_noise.json | Lỗi/phát hiện: P20-1 hạng TN mốc nguyên; P20-2 ngoài phạm vi → tot_nghiep; P20-3 đăng ký niên luận; P20-4 OCR M2 từ chối thừa; Q-Real 0/400 chưa đạt | Sửa: P20-1 (v1.10, QD-14), P20-2, P20-3 — rformal C42–C46, integration E10–E16 | Q-Noise: P20-5 parser không dấu → đã sửa, integration E17–E28</t>
        </is>
      </c>
    </row>
    <row r="22">
      <c r="A22" s="2" t="n">
        <v>21</v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/>
    </row>
    <row r="23">
      <c r="A23" s="2" t="n">
        <v>22</v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/>
    </row>
    <row r="24">
      <c r="A24" s="2" t="n">
        <v>23</v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/>
    </row>
    <row r="25">
      <c r="A25" s="2" t="n">
        <v>24</v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/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  <selection pane="bottomLeft" activeCell="B15" sqref="B15"/>
    </sheetView>
  </sheetViews>
  <sheetFormatPr baseColWidth="8" defaultColWidth="9" defaultRowHeight="14.4"/>
  <cols>
    <col width="22" customWidth="1" min="1" max="1"/>
    <col width="12" customWidth="1" min="2" max="2"/>
    <col width="65" customWidth="1" min="3" max="3"/>
  </cols>
  <sheetData>
    <row r="1">
      <c r="A1" s="1" t="inlineStr">
        <is>
          <t>Giai đoạn</t>
        </is>
      </c>
      <c r="B1" s="1" t="inlineStr">
        <is>
          <t>Số tuần</t>
        </is>
      </c>
      <c r="C1" s="1" t="inlineStr">
        <is>
          <t>Kết quả cuối giai đoạn</t>
        </is>
      </c>
    </row>
    <row r="2">
      <c r="A2" s="2" t="inlineStr">
        <is>
          <t>Khảo sát</t>
        </is>
      </c>
      <c r="B2" s="2" t="n">
        <v>4</v>
      </c>
      <c r="C2" s="2" t="inlineStr">
        <is>
          <t>Problem + taxonomy + literature gap + solver direction</t>
        </is>
      </c>
    </row>
    <row r="3">
      <c r="A3" s="2" t="inlineStr">
        <is>
          <t>Formalization</t>
        </is>
      </c>
      <c r="B3" s="2" t="n">
        <v>6</v>
      </c>
      <c r="C3" s="2" t="inlineStr">
        <is>
          <t>Knowledge Base + Curriculum + Student Facts + Solver</t>
        </is>
      </c>
    </row>
    <row r="4">
      <c r="A4" s="2" t="inlineStr">
        <is>
          <t>Proof</t>
        </is>
      </c>
      <c r="B4" s="2" t="n">
        <v>2</v>
      </c>
      <c r="C4" s="2" t="inlineStr">
        <is>
          <t>Proof Certificate + prototype</t>
        </is>
      </c>
    </row>
    <row r="5">
      <c r="A5" s="2" t="inlineStr">
        <is>
          <t>LLM</t>
        </is>
      </c>
      <c r="B5" s="2" t="n">
        <v>2</v>
      </c>
      <c r="C5" s="2" t="inlineStr">
        <is>
          <t>Semantic Parser + RAG grounding</t>
        </is>
      </c>
    </row>
    <row r="6">
      <c r="A6" s="2" t="inlineStr">
        <is>
          <t>Uncertainty</t>
        </is>
      </c>
      <c r="B6" s="2" t="n">
        <v>3</v>
      </c>
      <c r="C6" s="2" t="inlineStr">
        <is>
          <t>OCR + confidence + abstention + adversarial set</t>
        </is>
      </c>
    </row>
    <row r="7">
      <c r="A7" s="2" t="inlineStr">
        <is>
          <t>Recommendation</t>
        </is>
      </c>
      <c r="B7" s="2" t="n">
        <v>2</v>
      </c>
      <c r="C7" s="2" t="inlineStr">
        <is>
          <t>Eligibility + recommendation</t>
        </is>
      </c>
    </row>
    <row r="8">
      <c r="A8" s="2" t="inlineStr">
        <is>
          <t>Evaluation</t>
        </is>
      </c>
      <c r="B8" s="2" t="n">
        <v>4</v>
      </c>
      <c r="C8" s="2" t="inlineStr">
        <is>
          <t>Dataset + baseline + CPA² evaluation + comparison</t>
        </is>
      </c>
    </row>
    <row r="9">
      <c r="A9" s="2" t="inlineStr">
        <is>
          <t>Hoàn thiện</t>
        </is>
      </c>
      <c r="B9" s="2" t="n">
        <v>1</v>
      </c>
      <c r="C9" s="2" t="inlineStr">
        <is>
          <t>Final thesis +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2026-08-17T02:17:00Z</dcterms:created>
  <dcterms:modified xmlns:dcterms="http://purl.org/dc/terms/" xmlns:xsi="http://www.w3.org/2001/XMLSchema-instance" xsi:type="dcterms:W3CDTF">2026-10-19T01:40:22Z</dcterms:modified>
  <cp:lastModifiedBy>Chung Tan Loi B2306555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13A0BD3018834012834600A77428349C_13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